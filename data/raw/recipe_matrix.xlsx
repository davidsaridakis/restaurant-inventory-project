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cipeMatrix" sheetId="1" r:id="rId1"/>
    <sheet name="TablaBuff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<sst xmlns="http://schemas.openxmlformats.org/spreadsheetml/2006/main" count="170" uniqueCount="58">
  <si>
    <t>dish</t>
  </si>
  <si>
    <t>ingredient</t>
  </si>
  <si>
    <t>qty_per_dish</t>
  </si>
  <si>
    <t>unit</t>
  </si>
  <si>
    <t>ingredient_type</t>
  </si>
  <si>
    <t>buffer_rate</t>
  </si>
  <si>
    <t>garlic_prawns</t>
  </si>
  <si>
    <t>prawns</t>
  </si>
  <si>
    <t>kg</t>
  </si>
  <si>
    <t>seafood</t>
  </si>
  <si>
    <t>garlic</t>
  </si>
  <si>
    <t>vegetable</t>
  </si>
  <si>
    <t>olive_oil</t>
  </si>
  <si>
    <t>litres</t>
  </si>
  <si>
    <t>liquid</t>
  </si>
  <si>
    <t>cinnamon_stick</t>
  </si>
  <si>
    <t>piece</t>
  </si>
  <si>
    <t>spice</t>
  </si>
  <si>
    <t>spanish_tortilla</t>
  </si>
  <si>
    <t>potato</t>
  </si>
  <si>
    <t>egg</t>
  </si>
  <si>
    <t>dairy</t>
  </si>
  <si>
    <t>onion</t>
  </si>
  <si>
    <t>tabbouleh_salad</t>
  </si>
  <si>
    <t>bulgar_wheat_fine</t>
  </si>
  <si>
    <t>grain</t>
  </si>
  <si>
    <t>parsley</t>
  </si>
  <si>
    <t>herb</t>
  </si>
  <si>
    <t>lemon</t>
  </si>
  <si>
    <t>cherry_tomato</t>
  </si>
  <si>
    <t>grilled_lamb_cutlets</t>
  </si>
  <si>
    <t>lamb_cutlets</t>
  </si>
  <si>
    <t>meat</t>
  </si>
  <si>
    <t>mixed_herb</t>
  </si>
  <si>
    <t>spanakopita</t>
  </si>
  <si>
    <t>leek</t>
  </si>
  <si>
    <t>spinach</t>
  </si>
  <si>
    <t>feta_cheese</t>
  </si>
  <si>
    <t>spring_onion</t>
  </si>
  <si>
    <t>filo_pastry</t>
  </si>
  <si>
    <t>butter</t>
  </si>
  <si>
    <t>chicken_pesto_skewers</t>
  </si>
  <si>
    <t>chicken_fillet</t>
  </si>
  <si>
    <t>pesto</t>
  </si>
  <si>
    <t>cream_cheese</t>
  </si>
  <si>
    <t>ropa_vieja</t>
  </si>
  <si>
    <t>chuck_beef</t>
  </si>
  <si>
    <t>bell_pepper</t>
  </si>
  <si>
    <t>diced_tomato</t>
  </si>
  <si>
    <t>cumin</t>
  </si>
  <si>
    <t>olives</t>
  </si>
  <si>
    <t>rice</t>
  </si>
  <si>
    <t>cheesecake</t>
  </si>
  <si>
    <t>cornstarch</t>
  </si>
  <si>
    <t>baking</t>
  </si>
  <si>
    <t>honey</t>
  </si>
  <si>
    <t>condiment</t>
  </si>
  <si>
    <t>ricotta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</si>
</sst>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B11" sqref="B11"/>
    </sheetView>
  </sheetViews>
  <sheetFormatPr defaultColWidth="8.88888888888889" defaultRowHeight="14.4" outlineLevelCol="5"/>
  <cols>
    <col min="1" max="1" width="26.8888888888889" customWidth="1"/>
    <col min="2" max="2" width="26" customWidth="1"/>
    <col min="3" max="3" width="14.5555555555556" customWidth="1"/>
    <col min="5" max="5" width="21.3333333333333" customWidth="1"/>
    <col min="6" max="6" width="11.888888888888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0.02</v>
      </c>
      <c r="D2" s="2" t="s">
        <v>8</v>
      </c>
      <c r="E2" s="2" t="s">
        <v>9</v>
      </c>
      <c r="F2">
        <f>VLOOKUP(E2,TablaBuffer!A:B,2,FALSE())</f>
        <v>0.18</v>
      </c>
    </row>
    <row r="3" spans="1:6">
      <c r="A3" s="2" t="s">
        <v>6</v>
      </c>
      <c r="B3" s="2" t="s">
        <v>10</v>
      </c>
      <c r="C3" s="3">
        <v>0.01</v>
      </c>
      <c r="D3" s="2" t="s">
        <v>8</v>
      </c>
      <c r="E3" s="2" t="s">
        <v>11</v>
      </c>
      <c r="F3">
        <f>VLOOKUP(E3,TablaBuffer!A:B,2,FALSE())</f>
        <v>0.15</v>
      </c>
    </row>
    <row r="4" spans="1:6">
      <c r="A4" s="2" t="s">
        <v>6</v>
      </c>
      <c r="B4" s="2" t="s">
        <v>12</v>
      </c>
      <c r="C4" s="3">
        <v>0.06</v>
      </c>
      <c r="D4" s="2" t="s">
        <v>13</v>
      </c>
      <c r="E4" s="2" t="s">
        <v>14</v>
      </c>
      <c r="F4">
        <f>VLOOKUP(E4,TablaBuffer!A:B,2,FALSE())</f>
        <v>0.08</v>
      </c>
    </row>
    <row r="5" spans="1:6">
      <c r="A5" s="2" t="s">
        <v>6</v>
      </c>
      <c r="B5" s="2" t="s">
        <v>15</v>
      </c>
      <c r="C5" s="3">
        <v>1</v>
      </c>
      <c r="D5" s="2" t="s">
        <v>16</v>
      </c>
      <c r="E5" s="2" t="s">
        <v>17</v>
      </c>
      <c r="F5">
        <f>VLOOKUP(E5,TablaBuffer!A:B,2,FALSE())</f>
        <v>0.05</v>
      </c>
    </row>
    <row r="6" spans="1:6">
      <c r="A6" s="2" t="s">
        <v>18</v>
      </c>
      <c r="B6" s="2" t="s">
        <v>19</v>
      </c>
      <c r="C6" s="3">
        <v>0.2</v>
      </c>
      <c r="D6" s="2" t="s">
        <v>8</v>
      </c>
      <c r="E6" s="2" t="s">
        <v>11</v>
      </c>
      <c r="F6">
        <f>VLOOKUP(E6,TablaBuffer!A:B,2,FALSE())</f>
        <v>0.15</v>
      </c>
    </row>
    <row r="7" spans="1:6">
      <c r="A7" s="2" t="s">
        <v>18</v>
      </c>
      <c r="B7" s="2" t="s">
        <v>20</v>
      </c>
      <c r="C7" s="3">
        <v>2</v>
      </c>
      <c r="D7" s="2" t="s">
        <v>16</v>
      </c>
      <c r="E7" s="2" t="s">
        <v>21</v>
      </c>
      <c r="F7">
        <f>VLOOKUP(E7,TablaBuffer!A:B,2,FALSE())</f>
        <v>0.12</v>
      </c>
    </row>
    <row r="8" spans="1:6">
      <c r="A8" s="2" t="s">
        <v>18</v>
      </c>
      <c r="B8" s="2" t="s">
        <v>12</v>
      </c>
      <c r="C8" s="3">
        <v>0.15</v>
      </c>
      <c r="D8" s="2" t="s">
        <v>13</v>
      </c>
      <c r="E8" s="2" t="s">
        <v>14</v>
      </c>
      <c r="F8">
        <f>VLOOKUP(E8,TablaBuffer!A:B,2,FALSE())</f>
        <v>0.08</v>
      </c>
    </row>
    <row r="9" spans="1:6">
      <c r="A9" s="2" t="s">
        <v>18</v>
      </c>
      <c r="B9" s="2" t="s">
        <v>22</v>
      </c>
      <c r="C9" s="3">
        <v>0.1</v>
      </c>
      <c r="D9" s="2" t="s">
        <v>8</v>
      </c>
      <c r="E9" s="2" t="s">
        <v>11</v>
      </c>
      <c r="F9">
        <f>VLOOKUP(E9,TablaBuffer!A:B,2,FALSE())</f>
        <v>0.15</v>
      </c>
    </row>
    <row r="10" spans="1:6">
      <c r="A10" s="2" t="s">
        <v>23</v>
      </c>
      <c r="B10" s="2" t="s">
        <v>24</v>
      </c>
      <c r="C10" s="3">
        <v>0.06</v>
      </c>
      <c r="D10" s="2" t="s">
        <v>8</v>
      </c>
      <c r="E10" s="2" t="s">
        <v>25</v>
      </c>
      <c r="F10">
        <f>VLOOKUP(E10,TablaBuffer!A:B,2,FALSE())</f>
        <v>0.05</v>
      </c>
    </row>
    <row r="11" spans="1:6">
      <c r="A11" s="2" t="s">
        <v>23</v>
      </c>
      <c r="B11" s="2" t="s">
        <v>26</v>
      </c>
      <c r="C11" s="3">
        <v>0.12</v>
      </c>
      <c r="D11" s="2" t="s">
        <v>16</v>
      </c>
      <c r="E11" s="2" t="s">
        <v>27</v>
      </c>
      <c r="F11">
        <f>VLOOKUP(E11,TablaBuffer!A:B,2,FALSE())</f>
        <v>0.2</v>
      </c>
    </row>
    <row r="12" spans="1:6">
      <c r="A12" s="2" t="s">
        <v>23</v>
      </c>
      <c r="B12" s="2" t="s">
        <v>28</v>
      </c>
      <c r="C12" s="3">
        <v>1</v>
      </c>
      <c r="D12" s="2" t="s">
        <v>16</v>
      </c>
      <c r="E12" s="2" t="s">
        <v>11</v>
      </c>
      <c r="F12">
        <f>VLOOKUP(E12,TablaBuffer!A:B,2,FALSE())</f>
        <v>0.15</v>
      </c>
    </row>
    <row r="13" spans="1:6">
      <c r="A13" s="2" t="s">
        <v>23</v>
      </c>
      <c r="B13" s="2" t="s">
        <v>29</v>
      </c>
      <c r="C13" s="3">
        <v>0.15</v>
      </c>
      <c r="D13" s="2" t="s">
        <v>8</v>
      </c>
      <c r="E13" s="2" t="s">
        <v>11</v>
      </c>
      <c r="F13">
        <f>VLOOKUP(E13,TablaBuffer!A:B,2,FALSE())</f>
        <v>0.15</v>
      </c>
    </row>
    <row r="14" spans="1:6">
      <c r="A14" s="2" t="s">
        <v>23</v>
      </c>
      <c r="B14" s="2" t="s">
        <v>12</v>
      </c>
      <c r="C14" s="3">
        <v>0.08</v>
      </c>
      <c r="D14" s="2" t="s">
        <v>13</v>
      </c>
      <c r="E14" s="2" t="s">
        <v>14</v>
      </c>
      <c r="F14">
        <f>VLOOKUP(E14,TablaBuffer!A:B,2,FALSE())</f>
        <v>0.08</v>
      </c>
    </row>
    <row r="15" spans="1:6">
      <c r="A15" s="2" t="s">
        <v>30</v>
      </c>
      <c r="B15" s="2" t="s">
        <v>31</v>
      </c>
      <c r="C15" s="3">
        <v>0.25</v>
      </c>
      <c r="D15" s="2" t="s">
        <v>8</v>
      </c>
      <c r="E15" s="2" t="s">
        <v>32</v>
      </c>
      <c r="F15">
        <f>VLOOKUP(E15,TablaBuffer!A:B,2,FALSE())</f>
        <v>0.12</v>
      </c>
    </row>
    <row r="16" spans="1:6">
      <c r="A16" s="2" t="s">
        <v>30</v>
      </c>
      <c r="B16" s="2" t="s">
        <v>19</v>
      </c>
      <c r="C16" s="3">
        <v>0.15</v>
      </c>
      <c r="D16" s="2" t="s">
        <v>8</v>
      </c>
      <c r="E16" s="2" t="s">
        <v>11</v>
      </c>
      <c r="F16">
        <f>VLOOKUP(E16,TablaBuffer!A:B,2,FALSE())</f>
        <v>0.15</v>
      </c>
    </row>
    <row r="17" spans="1:6">
      <c r="A17" s="2" t="s">
        <v>30</v>
      </c>
      <c r="B17" s="2" t="s">
        <v>33</v>
      </c>
      <c r="C17" s="3">
        <v>0.005</v>
      </c>
      <c r="D17" s="2" t="s">
        <v>8</v>
      </c>
      <c r="E17" s="2" t="s">
        <v>27</v>
      </c>
      <c r="F17">
        <f>VLOOKUP(E17,TablaBuffer!A:B,2,FALSE())</f>
        <v>0.2</v>
      </c>
    </row>
    <row r="18" spans="1:6">
      <c r="A18" s="2" t="s">
        <v>34</v>
      </c>
      <c r="B18" s="2" t="s">
        <v>35</v>
      </c>
      <c r="C18" s="3">
        <v>0.03</v>
      </c>
      <c r="D18" s="2" t="s">
        <v>8</v>
      </c>
      <c r="E18" s="2" t="s">
        <v>11</v>
      </c>
      <c r="F18">
        <f>VLOOKUP(E18,TablaBuffer!A:B,2,FALSE())</f>
        <v>0.15</v>
      </c>
    </row>
    <row r="19" spans="1:6">
      <c r="A19" s="2" t="s">
        <v>34</v>
      </c>
      <c r="B19" s="2" t="s">
        <v>36</v>
      </c>
      <c r="C19" s="3">
        <v>0.15</v>
      </c>
      <c r="D19" s="2" t="s">
        <v>8</v>
      </c>
      <c r="E19" s="2" t="s">
        <v>11</v>
      </c>
      <c r="F19">
        <f>VLOOKUP(E19,TablaBuffer!A:B,2,FALSE())</f>
        <v>0.15</v>
      </c>
    </row>
    <row r="20" spans="1:6">
      <c r="A20" s="2" t="s">
        <v>34</v>
      </c>
      <c r="B20" s="2" t="s">
        <v>37</v>
      </c>
      <c r="C20" s="3">
        <v>0.06</v>
      </c>
      <c r="D20" s="2" t="s">
        <v>8</v>
      </c>
      <c r="E20" s="2" t="s">
        <v>21</v>
      </c>
      <c r="F20">
        <f>VLOOKUP(E20,TablaBuffer!A:B,2,FALSE())</f>
        <v>0.12</v>
      </c>
    </row>
    <row r="21" spans="1:6">
      <c r="A21" s="2" t="s">
        <v>34</v>
      </c>
      <c r="B21" s="2" t="s">
        <v>38</v>
      </c>
      <c r="C21" s="3">
        <v>0.02</v>
      </c>
      <c r="D21" s="2" t="s">
        <v>8</v>
      </c>
      <c r="E21" s="2" t="s">
        <v>11</v>
      </c>
      <c r="F21">
        <f>VLOOKUP(E21,TablaBuffer!A:B,2,FALSE())</f>
        <v>0.15</v>
      </c>
    </row>
    <row r="22" spans="1:6">
      <c r="A22" s="2" t="s">
        <v>34</v>
      </c>
      <c r="B22" s="2" t="s">
        <v>39</v>
      </c>
      <c r="C22" s="3">
        <v>2</v>
      </c>
      <c r="D22" s="2" t="s">
        <v>16</v>
      </c>
      <c r="E22" s="2" t="s">
        <v>25</v>
      </c>
      <c r="F22">
        <f>VLOOKUP(E22,TablaBuffer!A:B,2,FALSE())</f>
        <v>0.05</v>
      </c>
    </row>
    <row r="23" spans="1:6">
      <c r="A23" s="2" t="s">
        <v>34</v>
      </c>
      <c r="B23" s="2" t="s">
        <v>40</v>
      </c>
      <c r="C23" s="3">
        <v>0.05</v>
      </c>
      <c r="D23" s="2" t="s">
        <v>8</v>
      </c>
      <c r="E23" s="2" t="s">
        <v>21</v>
      </c>
      <c r="F23">
        <f>VLOOKUP(E23,TablaBuffer!A:B,2,FALSE())</f>
        <v>0.12</v>
      </c>
    </row>
    <row r="24" spans="1:6">
      <c r="A24" s="2" t="s">
        <v>41</v>
      </c>
      <c r="B24" s="2" t="s">
        <v>42</v>
      </c>
      <c r="C24" s="3">
        <v>0.22</v>
      </c>
      <c r="D24" s="2" t="s">
        <v>8</v>
      </c>
      <c r="E24" s="2" t="s">
        <v>32</v>
      </c>
      <c r="F24">
        <f>VLOOKUP(E24,TablaBuffer!A:B,2,FALSE())</f>
        <v>0.12</v>
      </c>
    </row>
    <row r="25" spans="1:6">
      <c r="A25" s="2" t="s">
        <v>41</v>
      </c>
      <c r="B25" s="2" t="s">
        <v>43</v>
      </c>
      <c r="C25" s="3">
        <v>0.02</v>
      </c>
      <c r="D25" s="2" t="s">
        <v>8</v>
      </c>
      <c r="E25" s="2" t="s">
        <v>11</v>
      </c>
      <c r="F25">
        <f>VLOOKUP(E25,TablaBuffer!A:B,2,FALSE())</f>
        <v>0.15</v>
      </c>
    </row>
    <row r="26" spans="1:6">
      <c r="A26" s="2" t="s">
        <v>41</v>
      </c>
      <c r="B26" s="2" t="s">
        <v>44</v>
      </c>
      <c r="C26" s="3">
        <v>0.02</v>
      </c>
      <c r="D26" s="2" t="s">
        <v>8</v>
      </c>
      <c r="E26" s="2" t="s">
        <v>21</v>
      </c>
      <c r="F26">
        <f>VLOOKUP(E26,TablaBuffer!A:B,2,FALSE())</f>
        <v>0.12</v>
      </c>
    </row>
    <row r="27" spans="1:6">
      <c r="A27" s="2" t="s">
        <v>45</v>
      </c>
      <c r="B27" s="2" t="s">
        <v>46</v>
      </c>
      <c r="C27" s="3">
        <v>0.15</v>
      </c>
      <c r="D27" s="2" t="s">
        <v>8</v>
      </c>
      <c r="E27" s="2" t="s">
        <v>32</v>
      </c>
      <c r="F27">
        <f>VLOOKUP(E27,TablaBuffer!A:B,2,FALSE())</f>
        <v>0.12</v>
      </c>
    </row>
    <row r="28" spans="1:6">
      <c r="A28" s="2" t="s">
        <v>45</v>
      </c>
      <c r="B28" s="2" t="s">
        <v>22</v>
      </c>
      <c r="C28" s="3">
        <v>0.04</v>
      </c>
      <c r="D28" s="2" t="s">
        <v>8</v>
      </c>
      <c r="E28" s="2" t="s">
        <v>11</v>
      </c>
      <c r="F28">
        <f>VLOOKUP(E28,TablaBuffer!A:B,2,FALSE())</f>
        <v>0.15</v>
      </c>
    </row>
    <row r="29" spans="1:6">
      <c r="A29" s="2" t="s">
        <v>45</v>
      </c>
      <c r="B29" s="2" t="s">
        <v>47</v>
      </c>
      <c r="C29" s="3">
        <v>0.03</v>
      </c>
      <c r="D29" s="2" t="s">
        <v>8</v>
      </c>
      <c r="E29" s="2" t="s">
        <v>11</v>
      </c>
      <c r="F29">
        <f>VLOOKUP(E29,TablaBuffer!A:B,2,FALSE())</f>
        <v>0.15</v>
      </c>
    </row>
    <row r="30" spans="1:6">
      <c r="A30" s="2" t="s">
        <v>45</v>
      </c>
      <c r="B30" s="2" t="s">
        <v>48</v>
      </c>
      <c r="C30" s="3">
        <v>0.025</v>
      </c>
      <c r="D30" s="2" t="s">
        <v>8</v>
      </c>
      <c r="E30" s="2" t="s">
        <v>11</v>
      </c>
      <c r="F30">
        <f>VLOOKUP(E30,TablaBuffer!A:B,2,FALSE())</f>
        <v>0.15</v>
      </c>
    </row>
    <row r="31" spans="1:6">
      <c r="A31" s="2" t="s">
        <v>45</v>
      </c>
      <c r="B31" s="2" t="s">
        <v>49</v>
      </c>
      <c r="C31" s="3">
        <v>0.005</v>
      </c>
      <c r="D31" s="2" t="s">
        <v>8</v>
      </c>
      <c r="E31" s="2" t="s">
        <v>17</v>
      </c>
      <c r="F31">
        <f>VLOOKUP(E31,TablaBuffer!A:B,2,FALSE())</f>
        <v>0.05</v>
      </c>
    </row>
    <row r="32" spans="1:6">
      <c r="A32" s="2" t="s">
        <v>45</v>
      </c>
      <c r="B32" s="2" t="s">
        <v>50</v>
      </c>
      <c r="C32" s="3">
        <v>0.015</v>
      </c>
      <c r="D32" s="2" t="s">
        <v>8</v>
      </c>
      <c r="E32" s="2" t="s">
        <v>11</v>
      </c>
      <c r="F32">
        <f>VLOOKUP(E32,TablaBuffer!A:B,2,FALSE())</f>
        <v>0.15</v>
      </c>
    </row>
    <row r="33" spans="1:6">
      <c r="A33" s="2" t="s">
        <v>45</v>
      </c>
      <c r="B33" s="2" t="s">
        <v>12</v>
      </c>
      <c r="C33" s="3">
        <v>0.015</v>
      </c>
      <c r="D33" s="2" t="s">
        <v>13</v>
      </c>
      <c r="E33" s="2" t="s">
        <v>14</v>
      </c>
      <c r="F33">
        <f>VLOOKUP(E33,TablaBuffer!A:B,2,FALSE())</f>
        <v>0.08</v>
      </c>
    </row>
    <row r="34" spans="1:6">
      <c r="A34" s="2" t="s">
        <v>45</v>
      </c>
      <c r="B34" s="2" t="s">
        <v>51</v>
      </c>
      <c r="C34" s="3">
        <v>0.12</v>
      </c>
      <c r="D34" s="2" t="s">
        <v>8</v>
      </c>
      <c r="E34" s="2" t="s">
        <v>25</v>
      </c>
      <c r="F34">
        <f>VLOOKUP(E34,TablaBuffer!A:B,2,FALSE())</f>
        <v>0.05</v>
      </c>
    </row>
    <row r="35" spans="1:6">
      <c r="A35" s="2" t="s">
        <v>52</v>
      </c>
      <c r="B35" s="2" t="s">
        <v>20</v>
      </c>
      <c r="C35" s="3">
        <v>0.5</v>
      </c>
      <c r="D35" s="2" t="s">
        <v>16</v>
      </c>
      <c r="E35" s="2" t="s">
        <v>21</v>
      </c>
      <c r="F35">
        <f>VLOOKUP(E35,TablaBuffer!A:B,2,FALSE())</f>
        <v>0.12</v>
      </c>
    </row>
    <row r="36" spans="1:6">
      <c r="A36" s="2" t="s">
        <v>52</v>
      </c>
      <c r="B36" s="2" t="s">
        <v>53</v>
      </c>
      <c r="C36" s="3">
        <v>0.01</v>
      </c>
      <c r="D36" s="2" t="s">
        <v>8</v>
      </c>
      <c r="E36" s="2" t="s">
        <v>54</v>
      </c>
      <c r="F36">
        <f>VLOOKUP(E36,TablaBuffer!A:B,2,FALSE())</f>
        <v>0.07</v>
      </c>
    </row>
    <row r="37" spans="1:6">
      <c r="A37" s="2" t="s">
        <v>52</v>
      </c>
      <c r="B37" s="2" t="s">
        <v>55</v>
      </c>
      <c r="C37" s="3">
        <v>0.015</v>
      </c>
      <c r="D37" s="2" t="s">
        <v>8</v>
      </c>
      <c r="E37" s="2" t="s">
        <v>56</v>
      </c>
      <c r="F37">
        <f>VLOOKUP(E37,TablaBuffer!A:B,2,FALSE())</f>
        <v>0.06</v>
      </c>
    </row>
    <row r="38" spans="1:6">
      <c r="A38" s="2" t="s">
        <v>52</v>
      </c>
      <c r="B38" s="2" t="s">
        <v>57</v>
      </c>
      <c r="C38" s="3">
        <v>0.09</v>
      </c>
      <c r="D38" s="2" t="s">
        <v>8</v>
      </c>
      <c r="E38" s="2" t="s">
        <v>21</v>
      </c>
      <c r="F38">
        <f>VLOOKUP(E38,TablaBuffer!A:B,2,FALSE())</f>
        <v>0.12</v>
      </c>
    </row>
    <row r="39" spans="1:6">
      <c r="A39" s="2" t="s">
        <v>52</v>
      </c>
      <c r="B39" s="2" t="s">
        <v>28</v>
      </c>
      <c r="C39" s="3">
        <v>0.25</v>
      </c>
      <c r="D39" s="2" t="s">
        <v>16</v>
      </c>
      <c r="E39" s="2" t="s">
        <v>11</v>
      </c>
      <c r="F39">
        <f>VLOOKUP(E39,TablaBuffer!A:B,2,FALSE())</f>
        <v>0.15</v>
      </c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6" spans="1:6">
      <c r="A46" s="2"/>
      <c r="B46" s="2"/>
      <c r="C46" s="2"/>
      <c r="D46" s="2"/>
      <c r="E46" s="2"/>
      <c r="F46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D2" sqref="D2"/>
    </sheetView>
  </sheetViews>
  <sheetFormatPr defaultColWidth="8.88888888888889" defaultRowHeight="14.4" outlineLevelCol="1"/>
  <cols>
    <col min="1" max="1" width="17" customWidth="1"/>
    <col min="2" max="2" width="17.8888888888889" customWidth="1"/>
  </cols>
  <sheetData>
    <row r="1" ht="28.8" spans="1:2">
      <c r="A1" s="1" t="s">
        <v>4</v>
      </c>
      <c r="B1" s="1" t="s">
        <v>5</v>
      </c>
    </row>
    <row r="2" spans="1:2">
      <c r="A2" s="2" t="s">
        <v>9</v>
      </c>
      <c r="B2" s="2">
        <v>0.18</v>
      </c>
    </row>
    <row r="3" spans="1:2">
      <c r="A3" s="2" t="s">
        <v>32</v>
      </c>
      <c r="B3" s="2">
        <v>0.12</v>
      </c>
    </row>
    <row r="4" spans="1:2">
      <c r="A4" s="2" t="s">
        <v>21</v>
      </c>
      <c r="B4" s="2">
        <v>0.12</v>
      </c>
    </row>
    <row r="5" spans="1:2">
      <c r="A5" s="2" t="s">
        <v>11</v>
      </c>
      <c r="B5" s="2">
        <v>0.15</v>
      </c>
    </row>
    <row r="6" spans="1:2">
      <c r="A6" s="2" t="s">
        <v>27</v>
      </c>
      <c r="B6" s="2">
        <v>0.2</v>
      </c>
    </row>
    <row r="7" spans="1:2">
      <c r="A7" s="2" t="s">
        <v>17</v>
      </c>
      <c r="B7" s="2">
        <v>0.05</v>
      </c>
    </row>
    <row r="8" spans="1:2">
      <c r="A8" s="2" t="s">
        <v>25</v>
      </c>
      <c r="B8" s="2">
        <v>0.05</v>
      </c>
    </row>
    <row r="9" spans="1:2">
      <c r="A9" s="2" t="s">
        <v>54</v>
      </c>
      <c r="B9" s="2">
        <v>0.07</v>
      </c>
    </row>
    <row r="10" spans="1:2">
      <c r="A10" s="2" t="s">
        <v>14</v>
      </c>
      <c r="B10" s="2">
        <v>0.08</v>
      </c>
    </row>
    <row r="11" ht="28.8" spans="1:2">
      <c r="A11" s="2" t="s">
        <v>56</v>
      </c>
      <c r="B11" s="2">
        <v>0.06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RecipeMatrix</vt:lpstr>
      <vt:lpstr>TablaBuffer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2026-02-23T09:06:04Z</dcterms:created>
  <dcterms:modified xsi:type="dcterms:W3CDTF">2026-02-23T21:16:43Z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71F8B192DB1E4182BD8DB9FD585D2B40_13</vt:lpwstr>
  </property>
  <property fmtid="{D5CDD505-2E9C-101B-9397-08002B2CF9AE}" pid="3" name="KSOProductBuildVer">
    <vt:lpwstr>3082-12.2.0.23196</vt:lpwstr>
  </property>
</Properties>
</file>